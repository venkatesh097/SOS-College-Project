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iescms-my.sharepoint.com/personal/shrivenkateshknce124_gst_sies_edu_in/Documents/College Projects/LoRa Based Communication system in Network Dead zone for Trekkers/"/>
    </mc:Choice>
  </mc:AlternateContent>
  <xr:revisionPtr revIDLastSave="0" documentId="8_{8AB4D294-0C94-4F6E-8159-0C2D29D9D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dware Requisi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5" i="1" s="1"/>
</calcChain>
</file>

<file path=xl/sharedStrings.xml><?xml version="1.0" encoding="utf-8"?>
<sst xmlns="http://schemas.openxmlformats.org/spreadsheetml/2006/main" count="61" uniqueCount="59">
  <si>
    <t>Item No.</t>
  </si>
  <si>
    <t>Component Name</t>
  </si>
  <si>
    <t>Exact Model / Specification</t>
  </si>
  <si>
    <t>Qty (For 2 Units)</t>
  </si>
  <si>
    <t>Unit Price (INR)</t>
  </si>
  <si>
    <t>Microcontroller Board</t>
  </si>
  <si>
    <t>ESP32-WROOM-32 (38-Pin Variant)</t>
  </si>
  <si>
    <t>Sub-GHz Radio Transceiver</t>
  </si>
  <si>
    <t>SX1276 / SX1262 SPI Module</t>
  </si>
  <si>
    <t>Sub-GHz Antenna</t>
  </si>
  <si>
    <t>SMA Rubber Duck Antenna (2–3 dBi)</t>
  </si>
  <si>
    <t>RF Cable Adapter</t>
  </si>
  <si>
    <t>SMA Female Bulkhead to IPEX/U.FL Pigtail Cable (10cm)</t>
  </si>
  <si>
    <t>GPS Receiver</t>
  </si>
  <si>
    <t>NEO-6M / NEO-M8N with Ceramic Antenna</t>
  </si>
  <si>
    <t>6-Axis Motion Sensor (IMU)</t>
  </si>
  <si>
    <t>MPU6050 Accelerometer + Gyroscope</t>
  </si>
  <si>
    <t>Graphic Display Module</t>
  </si>
  <si>
    <t>1.3" I2C OLED Display Module (SH1106, 128x64)</t>
  </si>
  <si>
    <t>Keypad Fallback</t>
  </si>
  <si>
    <t>4x4 Matrix Tactile Keypad Module</t>
  </si>
  <si>
    <t>Heavy SOS Button</t>
  </si>
  <si>
    <t>12mm Heavy-Duty Tactile Push Button + Red Cap</t>
  </si>
  <si>
    <t>Piezo Alert Buzzer</t>
  </si>
  <si>
    <t>5V Active Piezo Buzzer Module</t>
  </si>
  <si>
    <t>Battery Cells</t>
  </si>
  <si>
    <t>18650 Li-Ion Cell (3.7V 2600mAh)</t>
  </si>
  <si>
    <t>Battery Cell Holder</t>
  </si>
  <si>
    <t>Single-Cell 18650 Battery Holder with Wire Leads</t>
  </si>
  <si>
    <t>Battery Charger IC</t>
  </si>
  <si>
    <t>TP4056 Type-C Charging Module (With DW01 Protection)</t>
  </si>
  <si>
    <t>Mini Solar Panel</t>
  </si>
  <si>
    <t>5V / 6V Mini Solar Panel (1.5W–2W)</t>
  </si>
  <si>
    <t>Blocking Diode</t>
  </si>
  <si>
    <t>1N5819 Schottky Diode</t>
  </si>
  <si>
    <t>Power Control</t>
  </si>
  <si>
    <t>SPDT Mini Slide Switch (3-Pin)</t>
  </si>
  <si>
    <t>Prototyping Board</t>
  </si>
  <si>
    <t>Single-Side Copper Perfboard PCB (8x12 cm)</t>
  </si>
  <si>
    <t>Connection Wire Set</t>
  </si>
  <si>
    <t>24 AWG Flexible Hook-Up Wire Ribbons (Red, Black, Blue)</t>
  </si>
  <si>
    <t>1 Roll</t>
  </si>
  <si>
    <t>Header Pins</t>
  </si>
  <si>
    <t>40-Pin 2.54mm Male &amp; Female Pin Header Strip</t>
  </si>
  <si>
    <t>2 Pairs</t>
  </si>
  <si>
    <t>Assembly Screws</t>
  </si>
  <si>
    <t>M3 Nylon Standoffs, Nuts, and Screws Set</t>
  </si>
  <si>
    <t>1 Pack</t>
  </si>
  <si>
    <t>Wire Insulation</t>
  </si>
  <si>
    <t>Heat Shrink Tubing Kit Assortment</t>
  </si>
  <si>
    <t>Resistor Kit</t>
  </si>
  <si>
    <t>10kΩ &amp; 220Ω 1/4W Resistors Pack</t>
  </si>
  <si>
    <t>Programming Cable</t>
  </si>
  <si>
    <t>USB Type-A to Type-C Data &amp; Charging Cable (1m)</t>
  </si>
  <si>
    <t>TOTAL</t>
  </si>
  <si>
    <t>Complete Requisition List</t>
  </si>
  <si>
    <t>Full Component Breakdown for 2 Transceiver Nodes</t>
  </si>
  <si>
    <t>Estimated Total Cost (INR)</t>
  </si>
  <si>
    <t>35 Total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</si>
</sst>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/>
    <xf numFmtId="0" fontId="3" fillId="5" borderId="2" xfId="0" applyFont="1" applyFill="1" applyBorder="1" applyAlignment="1">
      <alignment horizontal="left" vertical="center"/>
    </xf>
    <xf numFmtId="164" fontId="3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B1" sqref="B1:B1048576"/>
    </sheetView>
  </sheetViews>
  <sheetFormatPr defaultRowHeight="14.4" x14ac:dyDescent="0.3"/>
  <cols>
    <col min="1" max="1" width="10" customWidth="1"/>
    <col min="2" max="2" width="28" customWidth="1"/>
    <col min="3" max="3" width="50" customWidth="1"/>
    <col min="4" max="6" width="18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</v>
      </c>
    </row>
    <row r="2" spans="1:6" ht="22.05" customHeight="1" x14ac:dyDescent="0.3">
      <c r="A2" s="2">
        <v>1</v>
      </c>
      <c r="B2" s="3" t="s">
        <v>5</v>
      </c>
      <c r="C2" s="3" t="s">
        <v>6</v>
      </c>
      <c r="D2" s="2">
        <v>2</v>
      </c>
      <c r="E2" s="4">
        <v>420</v>
      </c>
      <c r="F2" s="4">
        <f t="shared" ref="F2:F18" si="0">D2*E2</f>
        <v>840</v>
      </c>
    </row>
    <row r="3" spans="1:6" ht="22.05" customHeight="1" x14ac:dyDescent="0.3">
      <c r="A3" s="5">
        <v>2</v>
      </c>
      <c r="B3" s="6" t="s">
        <v>7</v>
      </c>
      <c r="C3" s="6" t="s">
        <v>8</v>
      </c>
      <c r="D3" s="5">
        <v>2</v>
      </c>
      <c r="E3" s="7">
        <v>550</v>
      </c>
      <c r="F3" s="7">
        <f t="shared" si="0"/>
        <v>1100</v>
      </c>
    </row>
    <row r="4" spans="1:6" ht="22.05" customHeight="1" x14ac:dyDescent="0.3">
      <c r="A4" s="2">
        <v>3</v>
      </c>
      <c r="B4" s="3" t="s">
        <v>9</v>
      </c>
      <c r="C4" s="3" t="s">
        <v>10</v>
      </c>
      <c r="D4" s="2">
        <v>2</v>
      </c>
      <c r="E4" s="4">
        <v>220</v>
      </c>
      <c r="F4" s="4">
        <f t="shared" si="0"/>
        <v>440</v>
      </c>
    </row>
    <row r="5" spans="1:6" ht="22.05" customHeight="1" x14ac:dyDescent="0.3">
      <c r="A5" s="5">
        <v>4</v>
      </c>
      <c r="B5" s="6" t="s">
        <v>11</v>
      </c>
      <c r="C5" s="6" t="s">
        <v>12</v>
      </c>
      <c r="D5" s="5">
        <v>2</v>
      </c>
      <c r="E5" s="7">
        <v>60</v>
      </c>
      <c r="F5" s="7">
        <f t="shared" si="0"/>
        <v>120</v>
      </c>
    </row>
    <row r="6" spans="1:6" ht="22.05" customHeight="1" x14ac:dyDescent="0.3">
      <c r="A6" s="2">
        <v>5</v>
      </c>
      <c r="B6" s="3" t="s">
        <v>13</v>
      </c>
      <c r="C6" s="3" t="s">
        <v>14</v>
      </c>
      <c r="D6" s="2">
        <v>2</v>
      </c>
      <c r="E6" s="4">
        <v>450</v>
      </c>
      <c r="F6" s="4">
        <f t="shared" si="0"/>
        <v>900</v>
      </c>
    </row>
    <row r="7" spans="1:6" ht="22.05" customHeight="1" x14ac:dyDescent="0.3">
      <c r="A7" s="5">
        <v>6</v>
      </c>
      <c r="B7" s="6" t="s">
        <v>15</v>
      </c>
      <c r="C7" s="6" t="s">
        <v>16</v>
      </c>
      <c r="D7" s="5">
        <v>2</v>
      </c>
      <c r="E7" s="7">
        <v>160</v>
      </c>
      <c r="F7" s="7">
        <f t="shared" si="0"/>
        <v>320</v>
      </c>
    </row>
    <row r="8" spans="1:6" ht="22.05" customHeight="1" x14ac:dyDescent="0.3">
      <c r="A8" s="2">
        <v>7</v>
      </c>
      <c r="B8" s="3" t="s">
        <v>17</v>
      </c>
      <c r="C8" s="3" t="s">
        <v>18</v>
      </c>
      <c r="D8" s="2">
        <v>2</v>
      </c>
      <c r="E8" s="4">
        <v>360</v>
      </c>
      <c r="F8" s="4">
        <f t="shared" si="0"/>
        <v>720</v>
      </c>
    </row>
    <row r="9" spans="1:6" ht="22.05" customHeight="1" x14ac:dyDescent="0.3">
      <c r="A9" s="5">
        <v>8</v>
      </c>
      <c r="B9" s="6" t="s">
        <v>19</v>
      </c>
      <c r="C9" s="6" t="s">
        <v>20</v>
      </c>
      <c r="D9" s="5">
        <v>2</v>
      </c>
      <c r="E9" s="7">
        <v>120</v>
      </c>
      <c r="F9" s="7">
        <f t="shared" si="0"/>
        <v>240</v>
      </c>
    </row>
    <row r="10" spans="1:6" ht="22.05" customHeight="1" x14ac:dyDescent="0.3">
      <c r="A10" s="2">
        <v>9</v>
      </c>
      <c r="B10" s="3" t="s">
        <v>21</v>
      </c>
      <c r="C10" s="3" t="s">
        <v>22</v>
      </c>
      <c r="D10" s="2">
        <v>2</v>
      </c>
      <c r="E10" s="4">
        <v>30</v>
      </c>
      <c r="F10" s="4">
        <f t="shared" si="0"/>
        <v>60</v>
      </c>
    </row>
    <row r="11" spans="1:6" ht="22.05" customHeight="1" x14ac:dyDescent="0.3">
      <c r="A11" s="5">
        <v>10</v>
      </c>
      <c r="B11" s="6" t="s">
        <v>23</v>
      </c>
      <c r="C11" s="6" t="s">
        <v>24</v>
      </c>
      <c r="D11" s="5">
        <v>2</v>
      </c>
      <c r="E11" s="7">
        <v>30</v>
      </c>
      <c r="F11" s="7">
        <f t="shared" si="0"/>
        <v>60</v>
      </c>
    </row>
    <row r="12" spans="1:6" ht="22.05" customHeight="1" x14ac:dyDescent="0.3">
      <c r="A12" s="2">
        <v>11</v>
      </c>
      <c r="B12" s="3" t="s">
        <v>25</v>
      </c>
      <c r="C12" s="3" t="s">
        <v>26</v>
      </c>
      <c r="D12" s="2">
        <v>2</v>
      </c>
      <c r="E12" s="4">
        <v>350</v>
      </c>
      <c r="F12" s="4">
        <f t="shared" si="0"/>
        <v>700</v>
      </c>
    </row>
    <row r="13" spans="1:6" ht="22.05" customHeight="1" x14ac:dyDescent="0.3">
      <c r="A13" s="5">
        <v>12</v>
      </c>
      <c r="B13" s="6" t="s">
        <v>27</v>
      </c>
      <c r="C13" s="6" t="s">
        <v>28</v>
      </c>
      <c r="D13" s="5">
        <v>2</v>
      </c>
      <c r="E13" s="7">
        <v>50</v>
      </c>
      <c r="F13" s="7">
        <f t="shared" si="0"/>
        <v>100</v>
      </c>
    </row>
    <row r="14" spans="1:6" ht="22.05" customHeight="1" x14ac:dyDescent="0.3">
      <c r="A14" s="2">
        <v>13</v>
      </c>
      <c r="B14" s="3" t="s">
        <v>29</v>
      </c>
      <c r="C14" s="3" t="s">
        <v>30</v>
      </c>
      <c r="D14" s="2">
        <v>2</v>
      </c>
      <c r="E14" s="4">
        <v>90</v>
      </c>
      <c r="F14" s="4">
        <f t="shared" si="0"/>
        <v>180</v>
      </c>
    </row>
    <row r="15" spans="1:6" ht="22.05" customHeight="1" x14ac:dyDescent="0.3">
      <c r="A15" s="5">
        <v>14</v>
      </c>
      <c r="B15" s="6" t="s">
        <v>31</v>
      </c>
      <c r="C15" s="6" t="s">
        <v>32</v>
      </c>
      <c r="D15" s="5">
        <v>2</v>
      </c>
      <c r="E15" s="7">
        <v>220</v>
      </c>
      <c r="F15" s="7">
        <f t="shared" si="0"/>
        <v>440</v>
      </c>
    </row>
    <row r="16" spans="1:6" ht="22.05" customHeight="1" x14ac:dyDescent="0.3">
      <c r="A16" s="2">
        <v>15</v>
      </c>
      <c r="B16" s="3" t="s">
        <v>33</v>
      </c>
      <c r="C16" s="3" t="s">
        <v>34</v>
      </c>
      <c r="D16" s="2">
        <v>2</v>
      </c>
      <c r="E16" s="4">
        <v>10</v>
      </c>
      <c r="F16" s="4">
        <f t="shared" si="0"/>
        <v>20</v>
      </c>
    </row>
    <row r="17" spans="1:6" ht="22.05" customHeight="1" x14ac:dyDescent="0.3">
      <c r="A17" s="5">
        <v>16</v>
      </c>
      <c r="B17" s="6" t="s">
        <v>35</v>
      </c>
      <c r="C17" s="6" t="s">
        <v>36</v>
      </c>
      <c r="D17" s="5">
        <v>2</v>
      </c>
      <c r="E17" s="7">
        <v>20</v>
      </c>
      <c r="F17" s="7">
        <f t="shared" si="0"/>
        <v>40</v>
      </c>
    </row>
    <row r="18" spans="1:6" ht="22.05" customHeight="1" x14ac:dyDescent="0.3">
      <c r="A18" s="5">
        <v>18</v>
      </c>
      <c r="B18" s="6" t="s">
        <v>37</v>
      </c>
      <c r="C18" s="6" t="s">
        <v>38</v>
      </c>
      <c r="D18" s="5">
        <v>2</v>
      </c>
      <c r="E18" s="7">
        <v>80</v>
      </c>
      <c r="F18" s="7">
        <f t="shared" si="0"/>
        <v>160</v>
      </c>
    </row>
    <row r="19" spans="1:6" ht="22.05" customHeight="1" x14ac:dyDescent="0.3">
      <c r="A19" s="2">
        <v>19</v>
      </c>
      <c r="B19" s="3" t="s">
        <v>39</v>
      </c>
      <c r="C19" s="3" t="s">
        <v>40</v>
      </c>
      <c r="D19" s="2" t="s">
        <v>41</v>
      </c>
      <c r="E19" s="4">
        <v>180</v>
      </c>
      <c r="F19" s="4">
        <f>1*E19</f>
        <v>180</v>
      </c>
    </row>
    <row r="20" spans="1:6" ht="22.05" customHeight="1" x14ac:dyDescent="0.3">
      <c r="A20" s="5">
        <v>20</v>
      </c>
      <c r="B20" s="6" t="s">
        <v>42</v>
      </c>
      <c r="C20" s="6" t="s">
        <v>43</v>
      </c>
      <c r="D20" s="5" t="s">
        <v>44</v>
      </c>
      <c r="E20" s="7">
        <v>40</v>
      </c>
      <c r="F20" s="7">
        <f>2*E20</f>
        <v>80</v>
      </c>
    </row>
    <row r="21" spans="1:6" ht="22.05" customHeight="1" x14ac:dyDescent="0.3">
      <c r="A21" s="2">
        <v>21</v>
      </c>
      <c r="B21" s="3" t="s">
        <v>45</v>
      </c>
      <c r="C21" s="3" t="s">
        <v>46</v>
      </c>
      <c r="D21" s="2" t="s">
        <v>47</v>
      </c>
      <c r="E21" s="4">
        <v>180</v>
      </c>
      <c r="F21" s="4">
        <f>1*E21</f>
        <v>180</v>
      </c>
    </row>
    <row r="22" spans="1:6" ht="22.05" customHeight="1" x14ac:dyDescent="0.3">
      <c r="A22" s="5">
        <v>22</v>
      </c>
      <c r="B22" s="6" t="s">
        <v>48</v>
      </c>
      <c r="C22" s="6" t="s">
        <v>49</v>
      </c>
      <c r="D22" s="5" t="s">
        <v>47</v>
      </c>
      <c r="E22" s="7">
        <v>120</v>
      </c>
      <c r="F22" s="7">
        <f>1*E22</f>
        <v>120</v>
      </c>
    </row>
    <row r="23" spans="1:6" ht="22.05" customHeight="1" x14ac:dyDescent="0.3">
      <c r="A23" s="2">
        <v>23</v>
      </c>
      <c r="B23" s="3" t="s">
        <v>50</v>
      </c>
      <c r="C23" s="3" t="s">
        <v>51</v>
      </c>
      <c r="D23" s="2" t="s">
        <v>47</v>
      </c>
      <c r="E23" s="4">
        <v>50</v>
      </c>
      <c r="F23" s="4">
        <f>1*E23</f>
        <v>50</v>
      </c>
    </row>
    <row r="24" spans="1:6" ht="22.05" customHeight="1" x14ac:dyDescent="0.3">
      <c r="A24" s="5">
        <v>24</v>
      </c>
      <c r="B24" s="6" t="s">
        <v>52</v>
      </c>
      <c r="C24" s="6" t="s">
        <v>53</v>
      </c>
      <c r="D24" s="5">
        <v>2</v>
      </c>
      <c r="E24" s="7">
        <v>100</v>
      </c>
      <c r="F24" s="7">
        <f>D24*E24</f>
        <v>200</v>
      </c>
    </row>
    <row r="25" spans="1:6" ht="28.05" customHeight="1" thickBot="1" x14ac:dyDescent="0.35">
      <c r="A25" s="8" t="s">
        <v>54</v>
      </c>
      <c r="B25" s="10" t="s">
        <v>55</v>
      </c>
      <c r="C25" s="10" t="s">
        <v>56</v>
      </c>
      <c r="D25" s="8" t="s">
        <v>58</v>
      </c>
      <c r="E25" s="9"/>
      <c r="F25" s="11">
        <f>SUM(F2:F24)</f>
        <v>7250</v>
      </c>
    </row>
    <row r="26" spans="1:6" ht="15" thickTop="1" x14ac:dyDescent="0.3"/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384FD71EDE0040BAC3F30C8832403C" ma:contentTypeVersion="12" ma:contentTypeDescription="Create a new document." ma:contentTypeScope="" ma:versionID="44269cc2372f8c6ac17faeb1ffcf5299">
  <xsd:schema xmlns:xsd="http://www.w3.org/2001/XMLSchema" xmlns:xs="http://www.w3.org/2001/XMLSchema" xmlns:p="http://schemas.microsoft.com/office/2006/metadata/properties" xmlns:ns3="3d361a72-4962-451b-bbbc-c0fd49a0dc8c" targetNamespace="http://schemas.microsoft.com/office/2006/metadata/properties" ma:root="true" ma:fieldsID="478bd802a7eca19ca3b7901104b91222" ns3:_="">
    <xsd:import namespace="3d361a72-4962-451b-bbbc-c0fd49a0dc8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61a72-4962-451b-bbbc-c0fd49a0dc8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361a72-4962-451b-bbbc-c0fd49a0dc8c" xsi:nil="true"/>
  </documentManagement>
</p:properties>
</file>

<file path=customXml/itemProps1.xml><?xml version="1.0" encoding="utf-8"?>
<ds:datastoreItem xmlns:ds="http://schemas.openxmlformats.org/officeDocument/2006/customXml" ds:itemID="{2268E93C-9F63-4D8F-B1AE-CDA3D194F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61a72-4962-451b-bbbc-c0fd49a0dc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9F3F5C-78C1-463F-8F4C-54126DB075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C13E01-F6D3-447D-9A1C-5AAA418D3D64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3d361a72-4962-451b-bbbc-c0fd49a0dc8c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Requisition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Venkatesh Nadar</cp:lastModifiedBy>
  <cp:lastPrinted>2026-07-27T13:46:45Z</cp:lastPrinted>
  <dcterms:created xsi:type="dcterms:W3CDTF">2026-07-27T13:35:13Z</dcterms:created>
  <dcterms:modified xsi:type="dcterms:W3CDTF">2026-07-27T14:13:49Z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0x01010083384FD71EDE0040BAC3F30C8832403C</vt:lpwstr>
  </property>
</Properties>
</file>